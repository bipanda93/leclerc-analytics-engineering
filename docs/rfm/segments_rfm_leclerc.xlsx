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gments RFM" sheetId="1" state="visible" r:id="rId3"/>
    <sheet name="Seui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<sst xmlns="http://schemas.openxmlformats.org/spreadsheetml/2006/main" count="80" uniqueCount="48">
  <si>
    <t xml:space="preserve">Segments RFM — projet Leclerc</t>
  </si>
  <si>
    <t xml:space="preserve">Légende : cellules jaunes = à remplir par toi (colonnes E et F, et noms de segments dans le récapitulatif). Texte bleu = valeurs saisies à partir de tes résultats Snowsight. Texte noir = formules.</t>
  </si>
  <si>
    <t xml:space="preserve">Source des effectifs : requête croisant groupe de récence et groupe de fréquence sur LECLERC.GOLD.MART_RFM_CUSTOMERS (résultat transmis dans le chat, 5 oct. 2026). Seuils utilisés : voir l'onglet Seuils.</t>
  </si>
  <si>
    <t xml:space="preserve">Fréquence</t>
  </si>
  <si>
    <t xml:space="preserve">Récence</t>
  </si>
  <si>
    <t xml:space="preserve">Clients</t>
  </si>
  <si>
    <t xml:space="preserve">% des clients</t>
  </si>
  <si>
    <t xml:space="preserve">Segment (à remplir)</t>
  </si>
  <si>
    <t xml:space="preserve">Action Leclerc (à remplir)</t>
  </si>
  <si>
    <t xml:space="preserve">fidèle</t>
  </si>
  <si>
    <t xml:space="preserve">récent</t>
  </si>
  <si>
    <t xml:space="preserve">régulier</t>
  </si>
  <si>
    <t xml:space="preserve">entre deux</t>
  </si>
  <si>
    <t xml:space="preserve">parti</t>
  </si>
  <si>
    <t xml:space="preserve">occasionnel</t>
  </si>
  <si>
    <t xml:space="preserve">Total</t>
  </si>
  <si>
    <t xml:space="preserve">Exemple de format (ne correspond à aucune ligne du tableau ci-dessus) :</t>
  </si>
  <si>
    <t xml:space="preserve">Exemple</t>
  </si>
  <si>
    <t xml:space="preserve">Nouveaux clients</t>
  </si>
  <si>
    <t xml:space="preserve">Message de bienvenue</t>
  </si>
  <si>
    <t xml:space="preserve">Récapitulatif par segment</t>
  </si>
  <si>
    <t xml:space="preserve">Segment</t>
  </si>
  <si>
    <t xml:space="preserve">Total rattaché</t>
  </si>
  <si>
    <t xml:space="preserve">Clients pas encore rattachés à un segment</t>
  </si>
  <si>
    <t xml:space="preserve">Astuce : écris chaque nom de segment exactement pareil dans la colonne E et dans ce récapitulatif. Quand tout est rattaché, la ligne ci-dessus doit afficher - (zéro).</t>
  </si>
  <si>
    <t xml:space="preserve">Seuils RFM — projet Leclerc</t>
  </si>
  <si>
    <t xml:space="preserve">Seuils choisis par toi à partir des percentiles de LECLERC.GOLD.MART_RFM_CUSTOMERS. Les effectifs ci-dessous viennent des requêtes Snowsight lancées avec ces seuils : si tu en changes un, relance la requête et mets à jour la colonne Clients.</t>
  </si>
  <si>
    <t xml:space="preserve">Paramètre</t>
  </si>
  <si>
    <t xml:space="preserve">Valeur</t>
  </si>
  <si>
    <t xml:space="preserve">Unité</t>
  </si>
  <si>
    <t xml:space="preserve">Récence : seuil « récent » (strictement en dessous)</t>
  </si>
  <si>
    <t xml:space="preserve">jours</t>
  </si>
  <si>
    <t xml:space="preserve">Récence : seuil « parti » (strictement au-dessus)</t>
  </si>
  <si>
    <t xml:space="preserve">Fréquence : maximum « occasionnel » (inclus)</t>
  </si>
  <si>
    <t xml:space="preserve">achats</t>
  </si>
  <si>
    <t xml:space="preserve">Fréquence : maximum « régulier » (inclus)</t>
  </si>
  <si>
    <t xml:space="preserve">Montant : seuil « petit » (strictement en dessous)</t>
  </si>
  <si>
    <t xml:space="preserve">€</t>
  </si>
  <si>
    <t xml:space="preserve">Montant : seuil « gros » (à partir de, inclus)</t>
  </si>
  <si>
    <t xml:space="preserve">Dimension</t>
  </si>
  <si>
    <t xml:space="preserve">Groupe</t>
  </si>
  <si>
    <t xml:space="preserve">Règle</t>
  </si>
  <si>
    <t xml:space="preserve">Montant</t>
  </si>
  <si>
    <t xml:space="preserve">petit</t>
  </si>
  <si>
    <t xml:space="preserve">moyen</t>
  </si>
  <si>
    <t xml:space="preserve">gros</t>
  </si>
  <si>
    <t xml:space="preserve">Contrôle : total de clients par dimension (doit valoir 10 000 pour chacune)</t>
  </si>
  <si>
    <t xml:space="preserve">Constat de la séance : les 1 035 clients « gros » (montant) sont les mêmes que les 1 035 « fidèles » (fréquence). Le montant est un total cumulé, il suit donc surtout le nombre d'achats.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</si>
</sst>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0375C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037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customFormat="false" ht="15" hidden="false" customHeight="false" outlineLevel="0" collapsed="false">
      <c r="A6" s="4" t="s">
        <v>9</v>
      </c>
      <c r="B6" s="4" t="s">
        <v>10</v>
      </c>
      <c r="C6" s="5" t="n">
        <v>1035</v>
      </c>
      <c r="D6" s="6" t="n">
        <f aca="false">C6/$C$13</f>
        <v>0.1035</v>
      </c>
      <c r="E6" s="7"/>
      <c r="F6" s="7"/>
    </row>
    <row r="7" customFormat="false" ht="15" hidden="false" customHeight="false" outlineLevel="0" collapsed="false">
      <c r="A7" s="4" t="s">
        <v>11</v>
      </c>
      <c r="B7" s="4" t="s">
        <v>10</v>
      </c>
      <c r="C7" s="5" t="n">
        <v>4036</v>
      </c>
      <c r="D7" s="6" t="n">
        <f aca="false">C7/$C$13</f>
        <v>0.4036</v>
      </c>
      <c r="E7" s="7"/>
      <c r="F7" s="7"/>
    </row>
    <row r="8" customFormat="false" ht="15" hidden="false" customHeight="false" outlineLevel="0" collapsed="false">
      <c r="A8" s="4" t="s">
        <v>11</v>
      </c>
      <c r="B8" s="4" t="s">
        <v>12</v>
      </c>
      <c r="C8" s="5" t="n">
        <v>1295</v>
      </c>
      <c r="D8" s="6" t="n">
        <f aca="false">C8/$C$13</f>
        <v>0.1295</v>
      </c>
      <c r="E8" s="7"/>
      <c r="F8" s="7"/>
    </row>
    <row r="9" customFormat="false" ht="15" hidden="false" customHeight="false" outlineLevel="0" collapsed="false">
      <c r="A9" s="4" t="s">
        <v>11</v>
      </c>
      <c r="B9" s="4" t="s">
        <v>13</v>
      </c>
      <c r="C9" s="5" t="n">
        <v>584</v>
      </c>
      <c r="D9" s="6" t="n">
        <f aca="false">C9/$C$13</f>
        <v>0.0584</v>
      </c>
      <c r="E9" s="7"/>
      <c r="F9" s="7"/>
    </row>
    <row r="10" customFormat="false" ht="15" hidden="false" customHeight="false" outlineLevel="0" collapsed="false">
      <c r="A10" s="4" t="s">
        <v>14</v>
      </c>
      <c r="B10" s="4" t="s">
        <v>10</v>
      </c>
      <c r="C10" s="5" t="n">
        <v>262</v>
      </c>
      <c r="D10" s="6" t="n">
        <f aca="false">C10/$C$13</f>
        <v>0.0262</v>
      </c>
      <c r="E10" s="7"/>
      <c r="F10" s="7"/>
    </row>
    <row r="11" customFormat="false" ht="15" hidden="false" customHeight="false" outlineLevel="0" collapsed="false">
      <c r="A11" s="4" t="s">
        <v>14</v>
      </c>
      <c r="B11" s="4" t="s">
        <v>12</v>
      </c>
      <c r="C11" s="5" t="n">
        <v>246</v>
      </c>
      <c r="D11" s="6" t="n">
        <f aca="false">C11/$C$13</f>
        <v>0.0246</v>
      </c>
      <c r="E11" s="7"/>
      <c r="F11" s="7"/>
    </row>
    <row r="12" customFormat="false" ht="15" hidden="false" customHeight="false" outlineLevel="0" collapsed="false">
      <c r="A12" s="4" t="s">
        <v>14</v>
      </c>
      <c r="B12" s="4" t="s">
        <v>13</v>
      </c>
      <c r="C12" s="5" t="n">
        <v>2542</v>
      </c>
      <c r="D12" s="6" t="n">
        <f aca="false">C12/$C$13</f>
        <v>0.2542</v>
      </c>
      <c r="E12" s="7"/>
      <c r="F12" s="7"/>
    </row>
    <row r="13" customFormat="false" ht="15" hidden="false" customHeight="false" outlineLevel="0" collapsed="false">
      <c r="A13" s="8" t="s">
        <v>15</v>
      </c>
      <c r="B13" s="8"/>
      <c r="C13" s="9" t="n">
        <f aca="false">SUM(C6:C12)</f>
        <v>10000</v>
      </c>
      <c r="D13" s="10" t="n">
        <f aca="false">SUM(D6:D12)</f>
        <v>1</v>
      </c>
      <c r="E13" s="8"/>
      <c r="F13" s="8"/>
    </row>
    <row r="15" customFormat="false" ht="15" hidden="false" customHeight="false" outlineLevel="0" collapsed="false">
      <c r="A15" s="2" t="s">
        <v>16</v>
      </c>
    </row>
    <row r="16" customFormat="false" ht="15" hidden="false" customHeight="false" outlineLevel="0" collapsed="false">
      <c r="A16" s="2" t="s">
        <v>17</v>
      </c>
      <c r="E16" s="2" t="s">
        <v>18</v>
      </c>
      <c r="F16" s="2" t="s">
        <v>19</v>
      </c>
    </row>
    <row r="18" customFormat="false" ht="15" hidden="false" customHeight="false" outlineLevel="0" collapsed="false">
      <c r="A18" s="11" t="s">
        <v>20</v>
      </c>
    </row>
    <row r="19" customFormat="false" ht="15" hidden="false" customHeight="false" outlineLevel="0" collapsed="false">
      <c r="A19" s="3" t="s">
        <v>21</v>
      </c>
      <c r="B19" s="3" t="s">
        <v>5</v>
      </c>
      <c r="C19" s="3" t="s">
        <v>6</v>
      </c>
    </row>
    <row r="20" customFormat="false" ht="15" hidden="false" customHeight="false" outlineLevel="0" collapsed="false">
      <c r="A20" s="7"/>
      <c r="B20" s="12" t="str">
        <f aca="false">IF(A20="","",SUMIF($E$6:$E$12,A20,$C$6:$C$12))</f>
        <v/>
      </c>
      <c r="C20" s="6" t="str">
        <f aca="false">IF(A20="","",B20/$C$13)</f>
        <v/>
      </c>
    </row>
    <row r="21" customFormat="false" ht="15" hidden="false" customHeight="false" outlineLevel="0" collapsed="false">
      <c r="A21" s="7"/>
      <c r="B21" s="12" t="str">
        <f aca="false">IF(A21="","",SUMIF($E$6:$E$12,A21,$C$6:$C$12))</f>
        <v/>
      </c>
      <c r="C21" s="6" t="str">
        <f aca="false">IF(A21="","",B21/$C$13)</f>
        <v/>
      </c>
    </row>
    <row r="22" customFormat="false" ht="15" hidden="false" customHeight="false" outlineLevel="0" collapsed="false">
      <c r="A22" s="7"/>
      <c r="B22" s="12" t="str">
        <f aca="false">IF(A22="","",SUMIF($E$6:$E$12,A22,$C$6:$C$12))</f>
        <v/>
      </c>
      <c r="C22" s="6" t="str">
        <f aca="false">IF(A22="","",B22/$C$13)</f>
        <v/>
      </c>
    </row>
    <row r="23" customFormat="false" ht="15" hidden="false" customHeight="false" outlineLevel="0" collapsed="false">
      <c r="A23" s="7"/>
      <c r="B23" s="12" t="str">
        <f aca="false">IF(A23="","",SUMIF($E$6:$E$12,A23,$C$6:$C$12))</f>
        <v/>
      </c>
      <c r="C23" s="6" t="str">
        <f aca="false">IF(A23="","",B23/$C$13)</f>
        <v/>
      </c>
    </row>
    <row r="24" customFormat="false" ht="15" hidden="false" customHeight="false" outlineLevel="0" collapsed="false">
      <c r="A24" s="7"/>
      <c r="B24" s="12" t="str">
        <f aca="false">IF(A24="","",SUMIF($E$6:$E$12,A24,$C$6:$C$12))</f>
        <v/>
      </c>
      <c r="C24" s="6" t="str">
        <f aca="false">IF(A24="","",B24/$C$13)</f>
        <v/>
      </c>
    </row>
    <row r="25" customFormat="false" ht="15" hidden="false" customHeight="false" outlineLevel="0" collapsed="false">
      <c r="A25" s="8" t="s">
        <v>22</v>
      </c>
      <c r="B25" s="9" t="n">
        <f aca="false">SUM(B20:B24)</f>
        <v>0</v>
      </c>
      <c r="C25" s="10" t="n">
        <f aca="false">SUM(C20:C24)</f>
        <v>0</v>
      </c>
    </row>
    <row r="26" customFormat="false" ht="15" hidden="false" customHeight="false" outlineLevel="0" collapsed="false">
      <c r="A26" s="4" t="s">
        <v>23</v>
      </c>
      <c r="B26" s="12" t="n">
        <f aca="false">C13-B25</f>
        <v>10000</v>
      </c>
    </row>
    <row r="27" customFormat="false" ht="15" hidden="false" customHeight="false" outlineLevel="0" collapsed="false">
      <c r="A27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3" t="s">
        <v>27</v>
      </c>
      <c r="B4" s="3" t="s">
        <v>28</v>
      </c>
      <c r="C4" s="3" t="s">
        <v>29</v>
      </c>
    </row>
    <row r="5" customFormat="false" ht="15" hidden="false" customHeight="false" outlineLevel="0" collapsed="false">
      <c r="A5" s="4" t="s">
        <v>30</v>
      </c>
      <c r="B5" s="13" t="n">
        <v>30</v>
      </c>
      <c r="C5" s="4" t="s">
        <v>31</v>
      </c>
    </row>
    <row r="6" customFormat="false" ht="15" hidden="false" customHeight="false" outlineLevel="0" collapsed="false">
      <c r="A6" s="4" t="s">
        <v>32</v>
      </c>
      <c r="B6" s="13" t="n">
        <v>60</v>
      </c>
      <c r="C6" s="4" t="s">
        <v>31</v>
      </c>
    </row>
    <row r="7" customFormat="false" ht="15" hidden="false" customHeight="false" outlineLevel="0" collapsed="false">
      <c r="A7" s="4" t="s">
        <v>33</v>
      </c>
      <c r="B7" s="13" t="n">
        <v>5</v>
      </c>
      <c r="C7" s="4" t="s">
        <v>34</v>
      </c>
    </row>
    <row r="8" customFormat="false" ht="15" hidden="false" customHeight="false" outlineLevel="0" collapsed="false">
      <c r="A8" s="4" t="s">
        <v>35</v>
      </c>
      <c r="B8" s="13" t="n">
        <v>20</v>
      </c>
      <c r="C8" s="4" t="s">
        <v>34</v>
      </c>
    </row>
    <row r="9" customFormat="false" ht="15" hidden="false" customHeight="false" outlineLevel="0" collapsed="false">
      <c r="A9" s="4" t="s">
        <v>36</v>
      </c>
      <c r="B9" s="13" t="n">
        <v>500</v>
      </c>
      <c r="C9" s="4" t="s">
        <v>37</v>
      </c>
    </row>
    <row r="10" customFormat="false" ht="15" hidden="false" customHeight="false" outlineLevel="0" collapsed="false">
      <c r="A10" s="4" t="s">
        <v>38</v>
      </c>
      <c r="B10" s="13" t="n">
        <v>4000</v>
      </c>
      <c r="C10" s="4" t="s">
        <v>37</v>
      </c>
    </row>
    <row r="13" customFormat="false" ht="15" hidden="false" customHeight="false" outlineLevel="0" collapsed="false">
      <c r="A13" s="3" t="s">
        <v>39</v>
      </c>
      <c r="B13" s="3" t="s">
        <v>40</v>
      </c>
      <c r="C13" s="3" t="s">
        <v>41</v>
      </c>
      <c r="D13" s="3" t="s">
        <v>5</v>
      </c>
      <c r="E13" s="3" t="s">
        <v>6</v>
      </c>
    </row>
    <row r="14" customFormat="false" ht="15" hidden="false" customHeight="false" outlineLevel="0" collapsed="false">
      <c r="A14" s="4" t="s">
        <v>4</v>
      </c>
      <c r="B14" s="4" t="s">
        <v>10</v>
      </c>
      <c r="C14" s="4" t="str">
        <f aca="false">"recency &lt; "&amp;$B$5</f>
        <v>recency &lt; 30</v>
      </c>
      <c r="D14" s="5" t="n">
        <v>5333</v>
      </c>
      <c r="E14" s="6" t="n">
        <f aca="false">D14/SUM($D$14:$D$16)</f>
        <v>0.5333</v>
      </c>
    </row>
    <row r="15" customFormat="false" ht="15" hidden="false" customHeight="false" outlineLevel="0" collapsed="false">
      <c r="A15" s="4" t="s">
        <v>4</v>
      </c>
      <c r="B15" s="4" t="s">
        <v>12</v>
      </c>
      <c r="C15" s="4" t="str">
        <f aca="false">"de "&amp;$B$5&amp;" à "&amp;$B$6&amp;" jours (inclus)"</f>
        <v>de 30 à 60 jours (inclus)</v>
      </c>
      <c r="D15" s="5" t="n">
        <v>1541</v>
      </c>
      <c r="E15" s="6" t="n">
        <f aca="false">D15/SUM($D$14:$D$16)</f>
        <v>0.1541</v>
      </c>
    </row>
    <row r="16" customFormat="false" ht="15" hidden="false" customHeight="false" outlineLevel="0" collapsed="false">
      <c r="A16" s="4" t="s">
        <v>4</v>
      </c>
      <c r="B16" s="4" t="s">
        <v>13</v>
      </c>
      <c r="C16" s="4" t="str">
        <f aca="false">"recency &gt; "&amp;$B$6</f>
        <v>recency &gt; 60</v>
      </c>
      <c r="D16" s="5" t="n">
        <v>3126</v>
      </c>
      <c r="E16" s="6" t="n">
        <f aca="false">D16/SUM($D$14:$D$16)</f>
        <v>0.3126</v>
      </c>
    </row>
    <row r="17" customFormat="false" ht="15" hidden="false" customHeight="false" outlineLevel="0" collapsed="false">
      <c r="A17" s="4" t="s">
        <v>3</v>
      </c>
      <c r="B17" s="4" t="s">
        <v>14</v>
      </c>
      <c r="C17" s="4" t="str">
        <f aca="false">"frequency &lt;= "&amp;$B$7</f>
        <v>frequency &lt;= 5</v>
      </c>
      <c r="D17" s="5" t="n">
        <v>3050</v>
      </c>
      <c r="E17" s="6" t="n">
        <f aca="false">D17/SUM($D$17:$D$19)</f>
        <v>0.305</v>
      </c>
    </row>
    <row r="18" customFormat="false" ht="15" hidden="false" customHeight="false" outlineLevel="0" collapsed="false">
      <c r="A18" s="4" t="s">
        <v>3</v>
      </c>
      <c r="B18" s="4" t="s">
        <v>11</v>
      </c>
      <c r="C18" s="4" t="str">
        <f aca="false">"de "&amp;($B$7+1)&amp;" à "&amp;$B$8&amp;" achats"</f>
        <v>de 6 à 20 achats</v>
      </c>
      <c r="D18" s="5" t="n">
        <v>5915</v>
      </c>
      <c r="E18" s="6" t="n">
        <f aca="false">D18/SUM($D$17:$D$19)</f>
        <v>0.5915</v>
      </c>
    </row>
    <row r="19" customFormat="false" ht="15" hidden="false" customHeight="false" outlineLevel="0" collapsed="false">
      <c r="A19" s="4" t="s">
        <v>3</v>
      </c>
      <c r="B19" s="4" t="s">
        <v>9</v>
      </c>
      <c r="C19" s="4" t="str">
        <f aca="false">"frequency &gt; "&amp;$B$8</f>
        <v>frequency &gt; 20</v>
      </c>
      <c r="D19" s="5" t="n">
        <v>1035</v>
      </c>
      <c r="E19" s="6" t="n">
        <f aca="false">D19/SUM($D$17:$D$19)</f>
        <v>0.1035</v>
      </c>
    </row>
    <row r="20" customFormat="false" ht="15" hidden="false" customHeight="false" outlineLevel="0" collapsed="false">
      <c r="A20" s="4" t="s">
        <v>42</v>
      </c>
      <c r="B20" s="4" t="s">
        <v>43</v>
      </c>
      <c r="C20" s="4" t="str">
        <f aca="false">"monetary &lt; "&amp;$B$9</f>
        <v>monetary &lt; 500</v>
      </c>
      <c r="D20" s="5" t="n">
        <v>2708</v>
      </c>
      <c r="E20" s="6" t="n">
        <f aca="false">D20/SUM($D$20:$D$22)</f>
        <v>0.2708</v>
      </c>
    </row>
    <row r="21" customFormat="false" ht="15" hidden="false" customHeight="false" outlineLevel="0" collapsed="false">
      <c r="A21" s="4" t="s">
        <v>42</v>
      </c>
      <c r="B21" s="4" t="s">
        <v>44</v>
      </c>
      <c r="C21" s="4" t="str">
        <f aca="false">"de "&amp;$B$9&amp;" à moins de "&amp;$B$10</f>
        <v>de 500 à moins de 4000</v>
      </c>
      <c r="D21" s="5" t="n">
        <v>6257</v>
      </c>
      <c r="E21" s="6" t="n">
        <f aca="false">D21/SUM($D$20:$D$22)</f>
        <v>0.6257</v>
      </c>
    </row>
    <row r="22" customFormat="false" ht="15" hidden="false" customHeight="false" outlineLevel="0" collapsed="false">
      <c r="A22" s="4" t="s">
        <v>42</v>
      </c>
      <c r="B22" s="4" t="s">
        <v>45</v>
      </c>
      <c r="C22" s="4" t="str">
        <f aca="false">"monetary &gt;= "&amp;$B$10</f>
        <v>monetary &gt;= 4000</v>
      </c>
      <c r="D22" s="5" t="n">
        <v>1035</v>
      </c>
      <c r="E22" s="6" t="n">
        <f aca="false">D22/SUM($D$20:$D$22)</f>
        <v>0.1035</v>
      </c>
    </row>
    <row r="24" customFormat="false" ht="15" hidden="false" customHeight="false" outlineLevel="0" collapsed="false">
      <c r="A24" s="11" t="s">
        <v>46</v>
      </c>
    </row>
    <row r="25" customFormat="false" ht="15" hidden="false" customHeight="false" outlineLevel="0" collapsed="false">
      <c r="A25" s="4" t="s">
        <v>4</v>
      </c>
      <c r="B25" s="12" t="n">
        <f aca="false">SUM(D14:D16)</f>
        <v>10000</v>
      </c>
    </row>
    <row r="26" customFormat="false" ht="15" hidden="false" customHeight="false" outlineLevel="0" collapsed="false">
      <c r="A26" s="4" t="s">
        <v>3</v>
      </c>
      <c r="B26" s="12" t="n">
        <f aca="false">SUM(D17:D19)</f>
        <v>10000</v>
      </c>
    </row>
    <row r="27" customFormat="false" ht="15" hidden="false" customHeight="false" outlineLevel="0" collapsed="false">
      <c r="A27" s="4" t="s">
        <v>42</v>
      </c>
      <c r="B27" s="12" t="n">
        <f aca="false">SUM(D20:D22)</f>
        <v>10000</v>
      </c>
    </row>
    <row r="29" customFormat="false" ht="15" hidden="false" customHeight="false" outlineLevel="0" collapsed="false">
      <c r="A29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2026-10-05T12:54:22Z</dcterms:created>
  <dc:creator>openpyxl</dc:creator>
  <dc:description/>
  <dc:language>en-US</dc:language>
  <cp:lastModifiedBy/>
  <dcterms:modified xsi:type="dcterms:W3CDTF">2026-10-05T12:54:22Z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